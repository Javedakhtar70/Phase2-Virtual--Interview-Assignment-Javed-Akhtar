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New Job\New Applications\Puffy\Phase2\Part 3\"/>
    </mc:Choice>
  </mc:AlternateContent>
  <xr:revisionPtr revIDLastSave="0" documentId="8_{D4CEF364-D66D-4592-AAB9-5B934AB318B7}" xr6:coauthVersionLast="47" xr6:coauthVersionMax="47" xr10:uidLastSave="{00000000-0000-0000-0000-000000000000}"/>
  <bookViews>
    <workbookView xWindow="-110" yWindow="-110" windowWidth="19420" windowHeight="10300" xr2:uid="{04479ED6-A2D7-49F1-B49A-77F80B244B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F14" i="1" s="1"/>
</calcChain>
</file>

<file path=xl/sharedStrings.xml><?xml version="1.0" encoding="utf-8"?>
<sst xmlns="http://schemas.openxmlformats.org/spreadsheetml/2006/main" count="253" uniqueCount="241">
  <si>
    <t>check_date</t>
  </si>
  <si>
    <t>total_transactions</t>
  </si>
  <si>
    <t>transactions_with_revenue</t>
  </si>
  <si>
    <t>transactions_with_null_revenue</t>
  </si>
  <si>
    <t>revenue_completeness_pct</t>
  </si>
  <si>
    <t>transactions_with_zero_revenue</t>
  </si>
  <si>
    <t>transactions_with_negative_revenue</t>
  </si>
  <si>
    <t>transactions_with_positive_revenue</t>
  </si>
  <si>
    <t>avg_revenue</t>
  </si>
  <si>
    <t>min_revenue</t>
  </si>
  <si>
    <t>max_revenue</t>
  </si>
  <si>
    <t>total_revenue</t>
  </si>
  <si>
    <t>validation_status_95pct</t>
  </si>
  <si>
    <t>validation_status_98pct</t>
  </si>
  <si>
    <t>gap_from_95pct_threshold</t>
  </si>
  <si>
    <t>PASS</t>
  </si>
  <si>
    <t>Column1</t>
  </si>
  <si>
    <t>raw_events_count</t>
  </si>
  <si>
    <t>total_sessions</t>
  </si>
  <si>
    <t>session_events_sum</t>
  </si>
  <si>
    <t>event_count_diff</t>
  </si>
  <si>
    <t>reconciliation_status</t>
  </si>
  <si>
    <t>discrepancy_pct</t>
  </si>
  <si>
    <t>SELECT * FROM vw_dq_revenue_completeness;</t>
  </si>
  <si>
    <t xml:space="preserve"> Revenue completeness check</t>
  </si>
  <si>
    <t>Session reconciliation</t>
  </si>
  <si>
    <t>SELECT * FROM vw_dq_session_event_reconciliation;</t>
  </si>
  <si>
    <t>Session duration outliers</t>
  </si>
  <si>
    <t>SELECT * FROM vw_dq_session_duration_validation</t>
  </si>
  <si>
    <t>channel</t>
  </si>
  <si>
    <t>sessions</t>
  </si>
  <si>
    <t>avg_events</t>
  </si>
  <si>
    <t>avg_duration_min</t>
  </si>
  <si>
    <t>26cae7</t>
  </si>
  <si>
    <t>b49b20</t>
  </si>
  <si>
    <t>b5f311</t>
  </si>
  <si>
    <t>304f62</t>
  </si>
  <si>
    <t>eda71f</t>
  </si>
  <si>
    <t>1afd2c</t>
  </si>
  <si>
    <t>716f72</t>
  </si>
  <si>
    <t>d61405</t>
  </si>
  <si>
    <t>b5f147</t>
  </si>
  <si>
    <t>320a94</t>
  </si>
  <si>
    <t>d08209</t>
  </si>
  <si>
    <t>cbbcef</t>
  </si>
  <si>
    <t>0291c7</t>
  </si>
  <si>
    <t>5db016</t>
  </si>
  <si>
    <t>86fd9c</t>
  </si>
  <si>
    <t>c414b0</t>
  </si>
  <si>
    <t>b1dd83</t>
  </si>
  <si>
    <t>ba2789</t>
  </si>
  <si>
    <t>75f8f4</t>
  </si>
  <si>
    <t>f6660e</t>
  </si>
  <si>
    <t>2343ec</t>
  </si>
  <si>
    <t>5ad0eb</t>
  </si>
  <si>
    <t>4ce5b2</t>
  </si>
  <si>
    <t>f3afb4</t>
  </si>
  <si>
    <t>bd3824</t>
  </si>
  <si>
    <t>7870d8</t>
  </si>
  <si>
    <t>39b9fa</t>
  </si>
  <si>
    <t>1ff8a9</t>
  </si>
  <si>
    <t>a82d77</t>
  </si>
  <si>
    <t>a7d21b</t>
  </si>
  <si>
    <t>71c6f1</t>
  </si>
  <si>
    <t>006d04</t>
  </si>
  <si>
    <t>organic_search</t>
  </si>
  <si>
    <t>bc55ef</t>
  </si>
  <si>
    <t>8987b2</t>
  </si>
  <si>
    <t>111bb5</t>
  </si>
  <si>
    <t>5256cc</t>
  </si>
  <si>
    <t>e9d903</t>
  </si>
  <si>
    <t>69ee26</t>
  </si>
  <si>
    <t>1ff2bd</t>
  </si>
  <si>
    <t>f6bf29</t>
  </si>
  <si>
    <t>aa3204</t>
  </si>
  <si>
    <t>cf6d53</t>
  </si>
  <si>
    <t>107dce</t>
  </si>
  <si>
    <t>referral</t>
  </si>
  <si>
    <t>06eaeb</t>
  </si>
  <si>
    <t>e9b8a9</t>
  </si>
  <si>
    <t>c20151</t>
  </si>
  <si>
    <t>84d556</t>
  </si>
  <si>
    <t>bad050</t>
  </si>
  <si>
    <t>8c24f0</t>
  </si>
  <si>
    <t>99887f</t>
  </si>
  <si>
    <t>f24fe4</t>
  </si>
  <si>
    <t>cc0158</t>
  </si>
  <si>
    <t>738aa8</t>
  </si>
  <si>
    <t>33571b</t>
  </si>
  <si>
    <t>23b99c</t>
  </si>
  <si>
    <t>d9f430</t>
  </si>
  <si>
    <t>4891f8</t>
  </si>
  <si>
    <t>eaa433</t>
  </si>
  <si>
    <t>65fb98</t>
  </si>
  <si>
    <t>direct</t>
  </si>
  <si>
    <t>351a30</t>
  </si>
  <si>
    <t>4f23d0</t>
  </si>
  <si>
    <t>d44cab</t>
  </si>
  <si>
    <t>56b69b</t>
  </si>
  <si>
    <t>a79de8</t>
  </si>
  <si>
    <t>1975ea</t>
  </si>
  <si>
    <t>76ec05</t>
  </si>
  <si>
    <t>e10f46</t>
  </si>
  <si>
    <t>df6c59</t>
  </si>
  <si>
    <t>6ad530</t>
  </si>
  <si>
    <t>c04ce6</t>
  </si>
  <si>
    <t>babf38</t>
  </si>
  <si>
    <t>955d23</t>
  </si>
  <si>
    <t>f681da</t>
  </si>
  <si>
    <t>e08a28</t>
  </si>
  <si>
    <t>d25a02</t>
  </si>
  <si>
    <t>c50479</t>
  </si>
  <si>
    <t>3cd07e</t>
  </si>
  <si>
    <t>4b20b5</t>
  </si>
  <si>
    <t>0cd4c0</t>
  </si>
  <si>
    <t>62f5e8</t>
  </si>
  <si>
    <t>af630f</t>
  </si>
  <si>
    <t>2b7f2e</t>
  </si>
  <si>
    <t>07a171</t>
  </si>
  <si>
    <t>79ed31</t>
  </si>
  <si>
    <t>b85f40</t>
  </si>
  <si>
    <t>18f8fa</t>
  </si>
  <si>
    <t>0de9d1</t>
  </si>
  <si>
    <t>d78f0e</t>
  </si>
  <si>
    <t>b4cbce</t>
  </si>
  <si>
    <t>872ffe</t>
  </si>
  <si>
    <t>88cd39</t>
  </si>
  <si>
    <t>1a94c3</t>
  </si>
  <si>
    <t>b6157f</t>
  </si>
  <si>
    <t>175c1c</t>
  </si>
  <si>
    <t>3d064b</t>
  </si>
  <si>
    <t>f6f0f4</t>
  </si>
  <si>
    <t>4a24db</t>
  </si>
  <si>
    <t>358c98</t>
  </si>
  <si>
    <t>f4ba95</t>
  </si>
  <si>
    <t>d9b3a1</t>
  </si>
  <si>
    <t>f5e243</t>
  </si>
  <si>
    <t>f3634e</t>
  </si>
  <si>
    <t>bb6ec8</t>
  </si>
  <si>
    <t>778e2e</t>
  </si>
  <si>
    <t>e2ac2b</t>
  </si>
  <si>
    <t>a06276</t>
  </si>
  <si>
    <t>7b7f6e</t>
  </si>
  <si>
    <t>7aa49b</t>
  </si>
  <si>
    <t>784f03</t>
  </si>
  <si>
    <t>3f8844</t>
  </si>
  <si>
    <t>c63471</t>
  </si>
  <si>
    <t>8006c0</t>
  </si>
  <si>
    <t>4dd6a7</t>
  </si>
  <si>
    <t>601d79</t>
  </si>
  <si>
    <t>7c2f42</t>
  </si>
  <si>
    <t>2c5616</t>
  </si>
  <si>
    <t>5709b4</t>
  </si>
  <si>
    <t>b586fa</t>
  </si>
  <si>
    <t>651c86</t>
  </si>
  <si>
    <t>37446a</t>
  </si>
  <si>
    <t>1c367e</t>
  </si>
  <si>
    <t>94fb9b</t>
  </si>
  <si>
    <t>2b07b6</t>
  </si>
  <si>
    <t>bc6eec</t>
  </si>
  <si>
    <t>b15c79</t>
  </si>
  <si>
    <t>9bd8f3</t>
  </si>
  <si>
    <t>36fa3a</t>
  </si>
  <si>
    <t>14e922</t>
  </si>
  <si>
    <t>f41715</t>
  </si>
  <si>
    <t>dd8851</t>
  </si>
  <si>
    <t>8a2a88</t>
  </si>
  <si>
    <t>8624cb</t>
  </si>
  <si>
    <t>1db75b</t>
  </si>
  <si>
    <t>4dd7a6</t>
  </si>
  <si>
    <t>ffe856</t>
  </si>
  <si>
    <t>b47839</t>
  </si>
  <si>
    <t>3e04b5</t>
  </si>
  <si>
    <t>291eac</t>
  </si>
  <si>
    <t>1aa766</t>
  </si>
  <si>
    <t>cff549</t>
  </si>
  <si>
    <t>cf3f38</t>
  </si>
  <si>
    <t>social</t>
  </si>
  <si>
    <t>d16246</t>
  </si>
  <si>
    <t>487c80</t>
  </si>
  <si>
    <t>07d362</t>
  </si>
  <si>
    <t>08286c</t>
  </si>
  <si>
    <t>e550c6</t>
  </si>
  <si>
    <t>ddb185</t>
  </si>
  <si>
    <t>6c8ebc</t>
  </si>
  <si>
    <t>707c1e</t>
  </si>
  <si>
    <t>6b1fba</t>
  </si>
  <si>
    <t>b51815</t>
  </si>
  <si>
    <t>a48a03</t>
  </si>
  <si>
    <t>e434a6</t>
  </si>
  <si>
    <t>1ae49a</t>
  </si>
  <si>
    <t>af30f3</t>
  </si>
  <si>
    <t>27961d</t>
  </si>
  <si>
    <t>1bef3c</t>
  </si>
  <si>
    <t>bc8a97</t>
  </si>
  <si>
    <t>2c3144</t>
  </si>
  <si>
    <t>d80c23</t>
  </si>
  <si>
    <t>aecb97</t>
  </si>
  <si>
    <t>6396a3</t>
  </si>
  <si>
    <t>71a9df</t>
  </si>
  <si>
    <t>5a294a</t>
  </si>
  <si>
    <t>b5be76</t>
  </si>
  <si>
    <t>8000d0</t>
  </si>
  <si>
    <t>fb739e</t>
  </si>
  <si>
    <t>5411b7</t>
  </si>
  <si>
    <t>40c36a</t>
  </si>
  <si>
    <t>bcde82</t>
  </si>
  <si>
    <t>44cef6</t>
  </si>
  <si>
    <t>058c5c</t>
  </si>
  <si>
    <t>a0a058</t>
  </si>
  <si>
    <t>d85544</t>
  </si>
  <si>
    <t>SELECT * FROM vw_dq_attribution_coverage;</t>
  </si>
  <si>
    <t xml:space="preserve"> Attribution coverage</t>
  </si>
  <si>
    <t>missing_first_click</t>
  </si>
  <si>
    <t>missing_last_click</t>
  </si>
  <si>
    <t>complete_attribution</t>
  </si>
  <si>
    <t>attribution_coverage_pct</t>
  </si>
  <si>
    <t xml:space="preserve"> Transaction quality</t>
  </si>
  <si>
    <t>SELECT * FROM vw_dq_transaction_quality;</t>
  </si>
  <si>
    <t>null_transaction_id</t>
  </si>
  <si>
    <t>null_revenue</t>
  </si>
  <si>
    <t>zero_revenue</t>
  </si>
  <si>
    <t>negative_revenue</t>
  </si>
  <si>
    <t>high_value_transactions_10k_plus</t>
  </si>
  <si>
    <t>quality_score_pct</t>
  </si>
  <si>
    <t>transactions_without_revenue</t>
  </si>
  <si>
    <t>SELECT</t>
  </si>
  <si>
    <t xml:space="preserve">  COUNT(*) AS total_transactions,</t>
  </si>
  <si>
    <t xml:space="preserve">  SUM(CASE WHEN revenue &gt; 0 THEN 1 ELSE 0 END) AS transactions_with_revenue,</t>
  </si>
  <si>
    <t xml:space="preserve">  SUM(CASE WHEN revenue = 0 THEN 1 ELSE 0 END) AS transactions_without_revenue,</t>
  </si>
  <si>
    <t xml:space="preserve">  CAST(100.0 * SUM(CASE WHEN revenue &gt; 0 THEN 1 ELSE 0 END) / COUNT(*) AS DECIMAL(5,2)) AS percentage</t>
  </si>
  <si>
    <t xml:space="preserve">  FROM vw_transactions;</t>
  </si>
  <si>
    <t>percentage</t>
  </si>
  <si>
    <t xml:space="preserve">SELECT </t>
  </si>
  <si>
    <t xml:space="preserve">  channel,</t>
  </si>
  <si>
    <t xml:space="preserve">  COUNT(*) as sessions,</t>
  </si>
  <si>
    <t xml:space="preserve">  AVG(CAST(events_count AS FLOAT)) as avg_events,</t>
  </si>
  <si>
    <t xml:space="preserve">  AVG(CAST(session_duration_seconds AS FLOAT))/60 as avg_duration_min</t>
  </si>
  <si>
    <t>FROM vw_sessions</t>
  </si>
  <si>
    <t>GROUP BY channel;</t>
  </si>
  <si>
    <t>Channel performance (preliminary)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</si>
</sst>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5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216810-E87E-4EA9-80FB-26F9FDCB3AEC}" name="Table1" displayName="Table1" ref="A3:P4" totalsRowShown="0">
  <autoFilter ref="A3:P4" xr:uid="{B6216810-E87E-4EA9-80FB-26F9FDCB3AEC}"/>
  <tableColumns count="16">
    <tableColumn id="1" xr3:uid="{FE396DB4-DAC4-4061-8F1A-C334EBB630A2}" name="check_date" dataDxfId="4"/>
    <tableColumn id="2" xr3:uid="{93B83FBF-41C1-4422-8703-76B497331479}" name="total_transactions"/>
    <tableColumn id="3" xr3:uid="{9998E4BA-E6C6-4DC9-AD5A-8ECE33B1CFAF}" name="transactions_with_revenue"/>
    <tableColumn id="4" xr3:uid="{20433C40-E001-49B0-9974-09BC813D6D70}" name="transactions_with_null_revenue"/>
    <tableColumn id="5" xr3:uid="{6C580816-4E8E-4AAE-B031-94E719E30EC4}" name="revenue_completeness_pct"/>
    <tableColumn id="6" xr3:uid="{0EE4A145-E558-48C4-B174-72E776BED969}" name="transactions_with_zero_revenue"/>
    <tableColumn id="7" xr3:uid="{3E2C4A9C-D7BE-4946-8F24-F3FEC2086E56}" name="transactions_with_negative_revenue"/>
    <tableColumn id="8" xr3:uid="{86799C37-2A81-45D6-BA22-F31B157DD62C}" name="transactions_with_positive_revenue"/>
    <tableColumn id="9" xr3:uid="{DA2AC5E1-9D46-4320-B6C7-BC5ADC17CBD5}" name="avg_revenue"/>
    <tableColumn id="10" xr3:uid="{971A388A-4B15-409C-93CD-92E3B9784771}" name="min_revenue"/>
    <tableColumn id="11" xr3:uid="{5A78228D-ADB4-4F82-A745-2894D629C00F}" name="max_revenue"/>
    <tableColumn id="12" xr3:uid="{100AD674-495B-4B83-A15D-92C032A0FB04}" name="total_revenue"/>
    <tableColumn id="13" xr3:uid="{C2380DDA-CBA1-4D56-AED9-0D694F199A0E}" name="validation_status_95pct"/>
    <tableColumn id="14" xr3:uid="{7E5351C0-71C3-4A4B-8A07-62CF0D2948BF}" name="validation_status_98pct"/>
    <tableColumn id="15" xr3:uid="{7F11F20E-B31B-4275-B4F6-714E3222C325}" name="gap_from_95pct_threshold"/>
    <tableColumn id="16" xr3:uid="{6AA6F30A-248B-4A80-B874-27EF05B3CB8A}" name="Column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14492E-4966-43CB-A4BA-D10876F3DFAB}" name="Table2" displayName="Table2" ref="A17:G18" totalsRowShown="0">
  <autoFilter ref="A17:G18" xr:uid="{3A14492E-4966-43CB-A4BA-D10876F3DFAB}"/>
  <tableColumns count="7">
    <tableColumn id="1" xr3:uid="{6A1073D1-B6B0-461E-946F-6CA47DDEBEAD}" name="check_date" dataDxfId="3"/>
    <tableColumn id="2" xr3:uid="{63187D6A-1667-42F5-A7C9-ACEC6CACECB4}" name="raw_events_count"/>
    <tableColumn id="3" xr3:uid="{3B65A18E-63E8-4D48-8175-F9BFF5F5547E}" name="total_sessions"/>
    <tableColumn id="4" xr3:uid="{CBF52500-F032-422C-9CE2-E4B97CC2F661}" name="session_events_sum"/>
    <tableColumn id="5" xr3:uid="{01AFC564-0B58-4752-B641-07EADCA7D68D}" name="event_count_diff"/>
    <tableColumn id="6" xr3:uid="{94AC059F-8F58-491F-9F81-01B87F840012}" name="reconciliation_status"/>
    <tableColumn id="7" xr3:uid="{A044BA1B-2ACF-465F-8808-F219255C508C}" name="discrepancy_pct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AF2761-B726-47E7-8749-95CA6BB20F4A}" name="Table3" displayName="Table3" ref="A43:D231" totalsRowShown="0">
  <autoFilter ref="A43:D231" xr:uid="{4AAF2761-B726-47E7-8749-95CA6BB20F4A}"/>
  <tableColumns count="4">
    <tableColumn id="1" xr3:uid="{36FC2DE4-DC8B-4A9A-BD76-11227EFEB219}" name="channel"/>
    <tableColumn id="2" xr3:uid="{35DE3122-E8C9-4D28-BFF5-F15C015FBD8F}" name="sessions"/>
    <tableColumn id="3" xr3:uid="{13FEA059-B741-4DBA-BAB9-802AD0B62D99}" name="avg_events"/>
    <tableColumn id="4" xr3:uid="{D6B7AA58-084A-4637-98FB-A42061812015}" name="avg_duration_min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9D5D3E-2C4A-4A79-868F-FE9927120331}" name="Table4" displayName="Table4" ref="A25:F26" totalsRowShown="0">
  <autoFilter ref="A25:F26" xr:uid="{D79D5D3E-2C4A-4A79-868F-FE9927120331}"/>
  <tableColumns count="6">
    <tableColumn id="1" xr3:uid="{68C41C68-C144-49B0-B90C-3D2667A37DB5}" name="check_date" dataDxfId="2"/>
    <tableColumn id="2" xr3:uid="{86D99F08-0288-4D4F-B5CD-F0B9A235FB52}" name="total_transactions"/>
    <tableColumn id="3" xr3:uid="{F78DEF85-5073-4734-B037-21ABE5715F7C}" name="missing_first_click"/>
    <tableColumn id="4" xr3:uid="{315C8B02-39B0-4355-A3E4-B77F7BED04A1}" name="missing_last_click"/>
    <tableColumn id="5" xr3:uid="{475066BF-07DE-4C3C-89D9-EEBAF0EAAD56}" name="complete_attribution"/>
    <tableColumn id="6" xr3:uid="{6A7676D4-CBB6-4B80-A961-5520C8FBF185}" name="attribution_coverage_pct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74A11E0-7EAB-47DC-9A2B-5A56D3978A74}" name="Table5" displayName="Table5" ref="A30:K31" totalsRowShown="0">
  <autoFilter ref="A30:K31" xr:uid="{074A11E0-7EAB-47DC-9A2B-5A56D3978A74}"/>
  <tableColumns count="11">
    <tableColumn id="1" xr3:uid="{C8631913-4FD0-45BF-A9BE-575AE1718A81}" name="check_date" dataDxfId="1"/>
    <tableColumn id="2" xr3:uid="{B700709C-D7DC-4016-9422-6422DEA84E3E}" name="total_transactions"/>
    <tableColumn id="3" xr3:uid="{E14A4171-CEBD-4B49-9E67-6AA68DA7578D}" name="null_transaction_id"/>
    <tableColumn id="4" xr3:uid="{9A636E15-9020-4B45-915C-EF8C4C7A0377}" name="null_revenue"/>
    <tableColumn id="5" xr3:uid="{800175B1-AFCA-4113-9B08-4DDB699AF630}" name="zero_revenue" dataDxfId="0"/>
    <tableColumn id="6" xr3:uid="{EC16CE16-339B-4CA9-8182-5AD79DD8F38C}" name="negative_revenue"/>
    <tableColumn id="7" xr3:uid="{2BC0F86C-9534-47E4-A6AA-26399C890AA4}" name="high_value_transactions_10k_plus"/>
    <tableColumn id="8" xr3:uid="{6543C2B8-38FE-4036-856D-5ADCDB72EF5D}" name="avg_revenue"/>
    <tableColumn id="9" xr3:uid="{3C4E69AE-D651-4382-BBB2-4C137192EEDB}" name="min_revenue"/>
    <tableColumn id="10" xr3:uid="{064D42F8-9E37-4F0A-877D-8573E8858632}" name="max_revenue"/>
    <tableColumn id="11" xr3:uid="{F7B5C744-050B-4079-9CDB-8625A3B97AFA}" name="quality_score_p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07F76A-40E7-494A-A466-753BB82F930C}" name="Table6" displayName="Table6" ref="A12:D13" totalsRowShown="0">
  <autoFilter ref="A12:D13" xr:uid="{5207F76A-40E7-494A-A466-753BB82F930C}"/>
  <tableColumns count="4">
    <tableColumn id="1" xr3:uid="{38835F47-0B71-46D6-BA5C-DE0051AFC1D1}" name="total_transactions"/>
    <tableColumn id="2" xr3:uid="{B8850F40-7AD7-4300-B8E8-C1DB4842BAE4}" name="transactions_with_revenue"/>
    <tableColumn id="3" xr3:uid="{33D4DD73-9019-4D2D-BFC6-E7D2CD35A93B}" name="transactions_without_revenue"/>
    <tableColumn id="4" xr3:uid="{56502D5E-D742-45D6-8FCA-C9391204B733}" name="percentag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692A0-D814-4960-8FA7-B0CF9C0ADC61}">
  <dimension ref="A1:P231"/>
  <sheetViews>
    <sheetView tabSelected="1" topLeftCell="A219" workbookViewId="0">
      <selection activeCell="C235" sqref="C235"/>
    </sheetView>
  </sheetViews>
  <sheetFormatPr defaultRowHeight="14.5" x14ac:dyDescent="0.35"/>
  <cols>
    <col min="1" max="1" width="17.81640625" customWidth="1"/>
    <col min="2" max="2" width="25.453125" customWidth="1"/>
    <col min="3" max="3" width="28.26953125" customWidth="1"/>
    <col min="4" max="4" width="29.54296875" customWidth="1"/>
    <col min="5" max="5" width="25.6328125" customWidth="1"/>
    <col min="6" max="6" width="30.08984375" customWidth="1"/>
    <col min="7" max="7" width="33.453125" customWidth="1"/>
    <col min="8" max="8" width="32.90625" customWidth="1"/>
    <col min="9" max="9" width="20.453125" customWidth="1"/>
    <col min="10" max="10" width="23.7265625" customWidth="1"/>
    <col min="11" max="11" width="17.453125" customWidth="1"/>
    <col min="12" max="12" width="14.453125" customWidth="1"/>
    <col min="13" max="14" width="22.54296875" customWidth="1"/>
    <col min="15" max="15" width="25.453125" customWidth="1"/>
    <col min="16" max="16" width="10.26953125" customWidth="1"/>
  </cols>
  <sheetData>
    <row r="1" spans="1:16" x14ac:dyDescent="0.35">
      <c r="A1" s="2" t="s">
        <v>24</v>
      </c>
    </row>
    <row r="2" spans="1:16" x14ac:dyDescent="0.35">
      <c r="A2" t="s">
        <v>23</v>
      </c>
    </row>
    <row r="3" spans="1:16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16</v>
      </c>
    </row>
    <row r="4" spans="1:16" x14ac:dyDescent="0.35">
      <c r="A4" s="1">
        <v>45983</v>
      </c>
      <c r="B4">
        <v>293</v>
      </c>
      <c r="C4">
        <v>293</v>
      </c>
      <c r="D4">
        <v>0</v>
      </c>
      <c r="E4">
        <v>100</v>
      </c>
      <c r="F4">
        <v>10</v>
      </c>
      <c r="G4">
        <v>0</v>
      </c>
      <c r="H4">
        <v>283</v>
      </c>
      <c r="I4">
        <v>1003.11740614334</v>
      </c>
      <c r="J4">
        <v>0</v>
      </c>
      <c r="K4">
        <v>4910</v>
      </c>
      <c r="L4">
        <v>293913.40000000002</v>
      </c>
      <c r="M4" t="s">
        <v>15</v>
      </c>
      <c r="N4" t="s">
        <v>15</v>
      </c>
      <c r="O4">
        <v>-5</v>
      </c>
    </row>
    <row r="6" spans="1:16" x14ac:dyDescent="0.35">
      <c r="A6" t="s">
        <v>226</v>
      </c>
    </row>
    <row r="7" spans="1:16" x14ac:dyDescent="0.35">
      <c r="A7" t="s">
        <v>227</v>
      </c>
    </row>
    <row r="8" spans="1:16" x14ac:dyDescent="0.35">
      <c r="A8" t="s">
        <v>228</v>
      </c>
    </row>
    <row r="9" spans="1:16" x14ac:dyDescent="0.35">
      <c r="A9" t="s">
        <v>229</v>
      </c>
    </row>
    <row r="10" spans="1:16" x14ac:dyDescent="0.35">
      <c r="A10" t="s">
        <v>230</v>
      </c>
    </row>
    <row r="11" spans="1:16" x14ac:dyDescent="0.35">
      <c r="A11" t="s">
        <v>231</v>
      </c>
    </row>
    <row r="12" spans="1:16" x14ac:dyDescent="0.35">
      <c r="A12" t="s">
        <v>1</v>
      </c>
      <c r="B12" t="s">
        <v>2</v>
      </c>
      <c r="C12" t="s">
        <v>225</v>
      </c>
      <c r="D12" t="s">
        <v>232</v>
      </c>
    </row>
    <row r="13" spans="1:16" x14ac:dyDescent="0.35">
      <c r="A13">
        <v>293</v>
      </c>
      <c r="B13">
        <v>283</v>
      </c>
      <c r="C13">
        <v>10</v>
      </c>
      <c r="D13">
        <v>96.59</v>
      </c>
      <c r="F13">
        <f>Table1[total_revenue]/Table6[[#This Row],[total_transactions]]</f>
        <v>1003.1174061433447</v>
      </c>
    </row>
    <row r="14" spans="1:16" x14ac:dyDescent="0.35">
      <c r="F14">
        <f>F13*Table6[transactions_without_revenue]</f>
        <v>10031.174061433447</v>
      </c>
    </row>
    <row r="15" spans="1:16" x14ac:dyDescent="0.35">
      <c r="A15" s="2" t="s">
        <v>25</v>
      </c>
    </row>
    <row r="16" spans="1:16" x14ac:dyDescent="0.35">
      <c r="A16" t="s">
        <v>26</v>
      </c>
    </row>
    <row r="17" spans="1:11" x14ac:dyDescent="0.35">
      <c r="A17" t="s">
        <v>0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</row>
    <row r="18" spans="1:11" x14ac:dyDescent="0.35">
      <c r="A18" s="1">
        <v>45983</v>
      </c>
      <c r="B18">
        <v>49962</v>
      </c>
      <c r="C18">
        <v>38389</v>
      </c>
      <c r="D18">
        <v>49962</v>
      </c>
      <c r="E18">
        <v>0</v>
      </c>
      <c r="F18" t="s">
        <v>15</v>
      </c>
      <c r="G18">
        <v>0</v>
      </c>
    </row>
    <row r="20" spans="1:11" x14ac:dyDescent="0.35">
      <c r="A20" s="2" t="s">
        <v>27</v>
      </c>
    </row>
    <row r="21" spans="1:11" x14ac:dyDescent="0.35">
      <c r="A21" t="s">
        <v>28</v>
      </c>
    </row>
    <row r="23" spans="1:11" x14ac:dyDescent="0.35">
      <c r="A23" s="2" t="s">
        <v>212</v>
      </c>
    </row>
    <row r="24" spans="1:11" x14ac:dyDescent="0.35">
      <c r="A24" t="s">
        <v>211</v>
      </c>
    </row>
    <row r="25" spans="1:11" x14ac:dyDescent="0.35">
      <c r="A25" t="s">
        <v>0</v>
      </c>
      <c r="B25" t="s">
        <v>1</v>
      </c>
      <c r="C25" t="s">
        <v>213</v>
      </c>
      <c r="D25" t="s">
        <v>214</v>
      </c>
      <c r="E25" t="s">
        <v>215</v>
      </c>
      <c r="F25" t="s">
        <v>216</v>
      </c>
    </row>
    <row r="26" spans="1:11" x14ac:dyDescent="0.35">
      <c r="A26" s="1">
        <v>45983</v>
      </c>
      <c r="B26">
        <v>293</v>
      </c>
      <c r="C26">
        <v>0</v>
      </c>
      <c r="D26">
        <v>0</v>
      </c>
      <c r="E26">
        <v>293</v>
      </c>
      <c r="F26">
        <v>100</v>
      </c>
    </row>
    <row r="27" spans="1:11" x14ac:dyDescent="0.35">
      <c r="A27" s="1"/>
    </row>
    <row r="28" spans="1:11" x14ac:dyDescent="0.35">
      <c r="A28" s="2" t="s">
        <v>217</v>
      </c>
      <c r="E28" s="1"/>
    </row>
    <row r="29" spans="1:11" x14ac:dyDescent="0.35">
      <c r="A29" t="s">
        <v>218</v>
      </c>
      <c r="E29" s="1"/>
    </row>
    <row r="30" spans="1:11" x14ac:dyDescent="0.35">
      <c r="A30" t="s">
        <v>0</v>
      </c>
      <c r="B30" t="s">
        <v>1</v>
      </c>
      <c r="C30" t="s">
        <v>219</v>
      </c>
      <c r="D30" t="s">
        <v>220</v>
      </c>
      <c r="E30" s="1" t="s">
        <v>221</v>
      </c>
      <c r="F30" t="s">
        <v>222</v>
      </c>
      <c r="G30" t="s">
        <v>223</v>
      </c>
      <c r="H30" t="s">
        <v>8</v>
      </c>
      <c r="I30" t="s">
        <v>9</v>
      </c>
      <c r="J30" t="s">
        <v>10</v>
      </c>
      <c r="K30" t="s">
        <v>224</v>
      </c>
    </row>
    <row r="31" spans="1:11" x14ac:dyDescent="0.35">
      <c r="A31" s="1">
        <v>45983</v>
      </c>
      <c r="B31">
        <v>293</v>
      </c>
      <c r="C31">
        <v>0</v>
      </c>
      <c r="D31">
        <v>0</v>
      </c>
      <c r="E31" s="1">
        <v>10</v>
      </c>
      <c r="F31">
        <v>0</v>
      </c>
      <c r="G31">
        <v>0</v>
      </c>
      <c r="H31">
        <v>1003.11740614334</v>
      </c>
      <c r="I31">
        <v>0</v>
      </c>
      <c r="J31">
        <v>4910</v>
      </c>
      <c r="K31">
        <v>96.59</v>
      </c>
    </row>
    <row r="32" spans="1:11" x14ac:dyDescent="0.35">
      <c r="A32" s="1"/>
      <c r="E32" s="1"/>
    </row>
    <row r="33" spans="1:5" x14ac:dyDescent="0.35">
      <c r="A33" s="1" t="s">
        <v>240</v>
      </c>
      <c r="E33" s="1"/>
    </row>
    <row r="34" spans="1:5" x14ac:dyDescent="0.35">
      <c r="A34" s="1" t="s">
        <v>233</v>
      </c>
      <c r="E34" s="1"/>
    </row>
    <row r="35" spans="1:5" x14ac:dyDescent="0.35">
      <c r="A35" s="1" t="s">
        <v>234</v>
      </c>
      <c r="E35" s="1"/>
    </row>
    <row r="36" spans="1:5" x14ac:dyDescent="0.35">
      <c r="A36" s="1" t="s">
        <v>235</v>
      </c>
      <c r="E36" s="1"/>
    </row>
    <row r="37" spans="1:5" x14ac:dyDescent="0.35">
      <c r="A37" s="1" t="s">
        <v>236</v>
      </c>
      <c r="E37" s="1"/>
    </row>
    <row r="38" spans="1:5" x14ac:dyDescent="0.35">
      <c r="A38" s="1" t="s">
        <v>237</v>
      </c>
      <c r="E38" s="1"/>
    </row>
    <row r="39" spans="1:5" x14ac:dyDescent="0.35">
      <c r="A39" s="1" t="s">
        <v>238</v>
      </c>
      <c r="E39" s="1"/>
    </row>
    <row r="40" spans="1:5" x14ac:dyDescent="0.35">
      <c r="A40" s="1" t="s">
        <v>239</v>
      </c>
      <c r="E40" s="1"/>
    </row>
    <row r="41" spans="1:5" x14ac:dyDescent="0.35">
      <c r="A41" s="1"/>
      <c r="E41" s="1"/>
    </row>
    <row r="42" spans="1:5" x14ac:dyDescent="0.35">
      <c r="E42" s="1"/>
    </row>
    <row r="43" spans="1:5" x14ac:dyDescent="0.35">
      <c r="A43" t="s">
        <v>29</v>
      </c>
      <c r="B43" t="s">
        <v>30</v>
      </c>
      <c r="C43" t="s">
        <v>31</v>
      </c>
      <c r="D43" t="s">
        <v>32</v>
      </c>
    </row>
    <row r="44" spans="1:5" x14ac:dyDescent="0.35">
      <c r="A44" t="s">
        <v>33</v>
      </c>
      <c r="B44">
        <v>1216</v>
      </c>
      <c r="C44">
        <v>1.0082236842105301</v>
      </c>
      <c r="D44">
        <v>3.8226425438596501E-2</v>
      </c>
    </row>
    <row r="45" spans="1:5" x14ac:dyDescent="0.35">
      <c r="A45" t="s">
        <v>34</v>
      </c>
      <c r="B45">
        <v>63</v>
      </c>
      <c r="C45">
        <v>1.1587301587301599</v>
      </c>
      <c r="D45">
        <v>0.830952380952381</v>
      </c>
    </row>
    <row r="46" spans="1:5" x14ac:dyDescent="0.35">
      <c r="A46" t="s">
        <v>35</v>
      </c>
      <c r="B46">
        <v>37</v>
      </c>
      <c r="C46">
        <v>1.08108108108108</v>
      </c>
      <c r="D46">
        <v>0.54819819819819804</v>
      </c>
    </row>
    <row r="47" spans="1:5" x14ac:dyDescent="0.35">
      <c r="A47" t="s">
        <v>36</v>
      </c>
      <c r="B47">
        <v>1</v>
      </c>
      <c r="C47">
        <v>1</v>
      </c>
      <c r="D47">
        <v>0</v>
      </c>
    </row>
    <row r="48" spans="1:5" x14ac:dyDescent="0.35">
      <c r="A48" t="s">
        <v>37</v>
      </c>
      <c r="B48">
        <v>1</v>
      </c>
      <c r="C48">
        <v>1</v>
      </c>
      <c r="D48">
        <v>0</v>
      </c>
    </row>
    <row r="49" spans="1:4" x14ac:dyDescent="0.35">
      <c r="A49" t="s">
        <v>38</v>
      </c>
      <c r="B49">
        <v>3</v>
      </c>
      <c r="C49">
        <v>1</v>
      </c>
      <c r="D49">
        <v>0</v>
      </c>
    </row>
    <row r="50" spans="1:4" x14ac:dyDescent="0.35">
      <c r="A50" t="s">
        <v>39</v>
      </c>
      <c r="B50">
        <v>1</v>
      </c>
      <c r="C50">
        <v>1</v>
      </c>
      <c r="D50">
        <v>0</v>
      </c>
    </row>
    <row r="51" spans="1:4" x14ac:dyDescent="0.35">
      <c r="A51" t="s">
        <v>40</v>
      </c>
      <c r="B51">
        <v>21</v>
      </c>
      <c r="C51">
        <v>1</v>
      </c>
      <c r="D51">
        <v>0</v>
      </c>
    </row>
    <row r="52" spans="1:4" x14ac:dyDescent="0.35">
      <c r="A52" t="s">
        <v>41</v>
      </c>
      <c r="B52">
        <v>1</v>
      </c>
      <c r="C52">
        <v>1</v>
      </c>
      <c r="D52">
        <v>0</v>
      </c>
    </row>
    <row r="53" spans="1:4" x14ac:dyDescent="0.35">
      <c r="A53" t="s">
        <v>42</v>
      </c>
      <c r="B53">
        <v>9</v>
      </c>
      <c r="C53">
        <v>1</v>
      </c>
      <c r="D53">
        <v>0</v>
      </c>
    </row>
    <row r="54" spans="1:4" x14ac:dyDescent="0.35">
      <c r="A54">
        <v>139857</v>
      </c>
      <c r="B54">
        <v>3</v>
      </c>
      <c r="C54">
        <v>1</v>
      </c>
      <c r="D54">
        <v>0</v>
      </c>
    </row>
    <row r="55" spans="1:4" x14ac:dyDescent="0.35">
      <c r="A55" t="s">
        <v>43</v>
      </c>
      <c r="B55">
        <v>1</v>
      </c>
      <c r="C55">
        <v>1</v>
      </c>
      <c r="D55">
        <v>0</v>
      </c>
    </row>
    <row r="56" spans="1:4" x14ac:dyDescent="0.35">
      <c r="A56" t="s">
        <v>44</v>
      </c>
      <c r="B56">
        <v>4</v>
      </c>
      <c r="C56">
        <v>1</v>
      </c>
      <c r="D56">
        <v>0</v>
      </c>
    </row>
    <row r="57" spans="1:4" x14ac:dyDescent="0.35">
      <c r="A57" t="s">
        <v>45</v>
      </c>
      <c r="B57">
        <v>161</v>
      </c>
      <c r="C57">
        <v>1.03105590062112</v>
      </c>
      <c r="D57">
        <v>7.0186335403726693E-2</v>
      </c>
    </row>
    <row r="58" spans="1:4" x14ac:dyDescent="0.35">
      <c r="A58" t="s">
        <v>46</v>
      </c>
      <c r="B58">
        <v>65</v>
      </c>
      <c r="C58">
        <v>1.12307692307692</v>
      </c>
      <c r="D58">
        <v>0.456666666666667</v>
      </c>
    </row>
    <row r="59" spans="1:4" x14ac:dyDescent="0.35">
      <c r="A59" t="s">
        <v>47</v>
      </c>
      <c r="B59">
        <v>52</v>
      </c>
      <c r="C59">
        <v>1.0576923076923099</v>
      </c>
      <c r="D59">
        <v>0.29743589743589699</v>
      </c>
    </row>
    <row r="60" spans="1:4" x14ac:dyDescent="0.35">
      <c r="A60" t="s">
        <v>48</v>
      </c>
      <c r="B60">
        <v>263</v>
      </c>
      <c r="C60">
        <v>1.02281368821293</v>
      </c>
      <c r="D60">
        <v>0.27756653992395403</v>
      </c>
    </row>
    <row r="61" spans="1:4" x14ac:dyDescent="0.35">
      <c r="A61" t="s">
        <v>49</v>
      </c>
      <c r="B61">
        <v>1</v>
      </c>
      <c r="C61">
        <v>1</v>
      </c>
      <c r="D61">
        <v>0</v>
      </c>
    </row>
    <row r="62" spans="1:4" x14ac:dyDescent="0.35">
      <c r="A62" t="s">
        <v>50</v>
      </c>
      <c r="B62">
        <v>6</v>
      </c>
      <c r="C62">
        <v>1</v>
      </c>
      <c r="D62">
        <v>0</v>
      </c>
    </row>
    <row r="63" spans="1:4" x14ac:dyDescent="0.35">
      <c r="A63" t="s">
        <v>51</v>
      </c>
      <c r="B63">
        <v>13</v>
      </c>
      <c r="C63">
        <v>1.07692307692308</v>
      </c>
      <c r="D63">
        <v>0.30512820512820499</v>
      </c>
    </row>
    <row r="64" spans="1:4" x14ac:dyDescent="0.35">
      <c r="A64" t="s">
        <v>52</v>
      </c>
      <c r="B64">
        <v>8</v>
      </c>
      <c r="C64">
        <v>1.125</v>
      </c>
      <c r="D64">
        <v>1.78125</v>
      </c>
    </row>
    <row r="65" spans="1:4" x14ac:dyDescent="0.35">
      <c r="A65" t="s">
        <v>53</v>
      </c>
      <c r="B65">
        <v>2</v>
      </c>
      <c r="C65">
        <v>1</v>
      </c>
      <c r="D65">
        <v>0</v>
      </c>
    </row>
    <row r="66" spans="1:4" x14ac:dyDescent="0.35">
      <c r="A66" s="3">
        <v>7560000000</v>
      </c>
      <c r="B66">
        <v>1</v>
      </c>
      <c r="C66">
        <v>1</v>
      </c>
      <c r="D66">
        <v>0</v>
      </c>
    </row>
    <row r="67" spans="1:4" x14ac:dyDescent="0.35">
      <c r="A67" t="s">
        <v>54</v>
      </c>
      <c r="B67">
        <v>42</v>
      </c>
      <c r="C67">
        <v>1.28571428571429</v>
      </c>
      <c r="D67">
        <v>4.4880952380952399</v>
      </c>
    </row>
    <row r="68" spans="1:4" x14ac:dyDescent="0.35">
      <c r="A68" t="s">
        <v>55</v>
      </c>
      <c r="B68">
        <v>9</v>
      </c>
      <c r="C68">
        <v>1.2222222222222201</v>
      </c>
      <c r="D68">
        <v>2.68888888888889</v>
      </c>
    </row>
    <row r="69" spans="1:4" x14ac:dyDescent="0.35">
      <c r="A69" t="s">
        <v>56</v>
      </c>
      <c r="B69">
        <v>36</v>
      </c>
      <c r="C69">
        <v>1.1111111111111101</v>
      </c>
      <c r="D69">
        <v>0.13796296296296301</v>
      </c>
    </row>
    <row r="70" spans="1:4" x14ac:dyDescent="0.35">
      <c r="A70" t="s">
        <v>57</v>
      </c>
      <c r="B70">
        <v>1</v>
      </c>
      <c r="C70">
        <v>1</v>
      </c>
      <c r="D70">
        <v>0</v>
      </c>
    </row>
    <row r="71" spans="1:4" x14ac:dyDescent="0.35">
      <c r="A71" t="s">
        <v>58</v>
      </c>
      <c r="B71">
        <v>2</v>
      </c>
      <c r="C71">
        <v>1</v>
      </c>
      <c r="D71">
        <v>0</v>
      </c>
    </row>
    <row r="72" spans="1:4" x14ac:dyDescent="0.35">
      <c r="A72" t="s">
        <v>59</v>
      </c>
      <c r="B72">
        <v>1</v>
      </c>
      <c r="C72">
        <v>1</v>
      </c>
      <c r="D72">
        <v>0</v>
      </c>
    </row>
    <row r="73" spans="1:4" x14ac:dyDescent="0.35">
      <c r="A73" t="s">
        <v>60</v>
      </c>
      <c r="B73">
        <v>6</v>
      </c>
      <c r="C73">
        <v>1</v>
      </c>
      <c r="D73">
        <v>0</v>
      </c>
    </row>
    <row r="74" spans="1:4" x14ac:dyDescent="0.35">
      <c r="A74" t="s">
        <v>61</v>
      </c>
      <c r="B74">
        <v>2</v>
      </c>
      <c r="C74">
        <v>1</v>
      </c>
      <c r="D74">
        <v>0</v>
      </c>
    </row>
    <row r="75" spans="1:4" x14ac:dyDescent="0.35">
      <c r="A75" t="s">
        <v>62</v>
      </c>
      <c r="B75">
        <v>8</v>
      </c>
      <c r="C75">
        <v>1</v>
      </c>
      <c r="D75">
        <v>0</v>
      </c>
    </row>
    <row r="76" spans="1:4" x14ac:dyDescent="0.35">
      <c r="A76" t="s">
        <v>63</v>
      </c>
      <c r="B76">
        <v>1</v>
      </c>
      <c r="C76">
        <v>1</v>
      </c>
      <c r="D76">
        <v>0</v>
      </c>
    </row>
    <row r="77" spans="1:4" x14ac:dyDescent="0.35">
      <c r="A77" t="s">
        <v>64</v>
      </c>
      <c r="B77">
        <v>3</v>
      </c>
      <c r="C77">
        <v>1</v>
      </c>
      <c r="D77">
        <v>0</v>
      </c>
    </row>
    <row r="78" spans="1:4" x14ac:dyDescent="0.35">
      <c r="A78" t="s">
        <v>65</v>
      </c>
      <c r="B78">
        <v>4247</v>
      </c>
      <c r="C78">
        <v>1.14527902048505</v>
      </c>
      <c r="D78">
        <v>0.53825052978573096</v>
      </c>
    </row>
    <row r="79" spans="1:4" x14ac:dyDescent="0.35">
      <c r="A79" t="s">
        <v>66</v>
      </c>
      <c r="B79">
        <v>43</v>
      </c>
      <c r="C79">
        <v>1.0930232558139501</v>
      </c>
      <c r="D79">
        <v>0.63255813953488405</v>
      </c>
    </row>
    <row r="80" spans="1:4" x14ac:dyDescent="0.35">
      <c r="A80" t="s">
        <v>67</v>
      </c>
      <c r="B80">
        <v>1</v>
      </c>
      <c r="C80">
        <v>1</v>
      </c>
      <c r="D80">
        <v>0</v>
      </c>
    </row>
    <row r="81" spans="1:4" x14ac:dyDescent="0.35">
      <c r="A81" t="s">
        <v>68</v>
      </c>
      <c r="B81">
        <v>3</v>
      </c>
      <c r="C81">
        <v>1</v>
      </c>
      <c r="D81">
        <v>0</v>
      </c>
    </row>
    <row r="82" spans="1:4" x14ac:dyDescent="0.35">
      <c r="A82" t="s">
        <v>69</v>
      </c>
      <c r="B82">
        <v>14</v>
      </c>
      <c r="C82">
        <v>1.0714285714285701</v>
      </c>
      <c r="D82">
        <v>0.133333333333333</v>
      </c>
    </row>
    <row r="83" spans="1:4" x14ac:dyDescent="0.35">
      <c r="A83" t="s">
        <v>70</v>
      </c>
      <c r="B83">
        <v>7</v>
      </c>
      <c r="C83">
        <v>3.1428571428571401</v>
      </c>
      <c r="D83">
        <v>1.28809523809524</v>
      </c>
    </row>
    <row r="84" spans="1:4" x14ac:dyDescent="0.35">
      <c r="A84" t="s">
        <v>71</v>
      </c>
      <c r="B84">
        <v>3</v>
      </c>
      <c r="C84">
        <v>1</v>
      </c>
      <c r="D84">
        <v>0</v>
      </c>
    </row>
    <row r="85" spans="1:4" x14ac:dyDescent="0.35">
      <c r="A85" t="s">
        <v>72</v>
      </c>
      <c r="B85">
        <v>62</v>
      </c>
      <c r="C85">
        <v>1.06451612903226</v>
      </c>
      <c r="D85">
        <v>0.123924731182796</v>
      </c>
    </row>
    <row r="86" spans="1:4" x14ac:dyDescent="0.35">
      <c r="A86" t="s">
        <v>73</v>
      </c>
      <c r="B86">
        <v>2</v>
      </c>
      <c r="C86">
        <v>1</v>
      </c>
      <c r="D86">
        <v>0</v>
      </c>
    </row>
    <row r="87" spans="1:4" x14ac:dyDescent="0.35">
      <c r="A87" t="s">
        <v>74</v>
      </c>
      <c r="B87">
        <v>3</v>
      </c>
      <c r="C87">
        <v>1</v>
      </c>
      <c r="D87">
        <v>0</v>
      </c>
    </row>
    <row r="88" spans="1:4" x14ac:dyDescent="0.35">
      <c r="A88" t="s">
        <v>75</v>
      </c>
      <c r="B88">
        <v>8</v>
      </c>
      <c r="C88">
        <v>1</v>
      </c>
      <c r="D88">
        <v>0</v>
      </c>
    </row>
    <row r="89" spans="1:4" x14ac:dyDescent="0.35">
      <c r="A89" t="s">
        <v>76</v>
      </c>
      <c r="B89">
        <v>13</v>
      </c>
      <c r="C89">
        <v>1</v>
      </c>
      <c r="D89">
        <v>0</v>
      </c>
    </row>
    <row r="90" spans="1:4" x14ac:dyDescent="0.35">
      <c r="A90" t="s">
        <v>77</v>
      </c>
      <c r="B90">
        <v>3757</v>
      </c>
      <c r="C90">
        <v>2.0354005855735999</v>
      </c>
      <c r="D90">
        <v>3.0256498979682398</v>
      </c>
    </row>
    <row r="91" spans="1:4" x14ac:dyDescent="0.35">
      <c r="A91" t="s">
        <v>78</v>
      </c>
      <c r="B91">
        <v>6</v>
      </c>
      <c r="C91">
        <v>1</v>
      </c>
      <c r="D91">
        <v>0</v>
      </c>
    </row>
    <row r="92" spans="1:4" x14ac:dyDescent="0.35">
      <c r="A92" t="s">
        <v>79</v>
      </c>
      <c r="B92">
        <v>15</v>
      </c>
      <c r="C92">
        <v>1.2666666666666699</v>
      </c>
      <c r="D92">
        <v>0.82777777777777795</v>
      </c>
    </row>
    <row r="93" spans="1:4" x14ac:dyDescent="0.35">
      <c r="A93" t="s">
        <v>80</v>
      </c>
      <c r="B93">
        <v>120</v>
      </c>
      <c r="C93">
        <v>1.05</v>
      </c>
      <c r="D93">
        <v>0.24763888888888899</v>
      </c>
    </row>
    <row r="94" spans="1:4" x14ac:dyDescent="0.35">
      <c r="A94" t="s">
        <v>81</v>
      </c>
      <c r="B94">
        <v>1</v>
      </c>
      <c r="C94">
        <v>1</v>
      </c>
      <c r="D94">
        <v>0</v>
      </c>
    </row>
    <row r="95" spans="1:4" x14ac:dyDescent="0.35">
      <c r="A95" t="s">
        <v>82</v>
      </c>
      <c r="B95">
        <v>1</v>
      </c>
      <c r="C95">
        <v>1</v>
      </c>
      <c r="D95">
        <v>0</v>
      </c>
    </row>
    <row r="96" spans="1:4" x14ac:dyDescent="0.35">
      <c r="A96" t="s">
        <v>83</v>
      </c>
      <c r="B96">
        <v>12</v>
      </c>
      <c r="C96">
        <v>1</v>
      </c>
      <c r="D96">
        <v>0</v>
      </c>
    </row>
    <row r="97" spans="1:4" x14ac:dyDescent="0.35">
      <c r="A97" t="s">
        <v>84</v>
      </c>
      <c r="B97">
        <v>1</v>
      </c>
      <c r="C97">
        <v>1</v>
      </c>
      <c r="D97">
        <v>0</v>
      </c>
    </row>
    <row r="98" spans="1:4" x14ac:dyDescent="0.35">
      <c r="A98" t="s">
        <v>85</v>
      </c>
      <c r="B98">
        <v>1</v>
      </c>
      <c r="C98">
        <v>1</v>
      </c>
      <c r="D98">
        <v>0</v>
      </c>
    </row>
    <row r="99" spans="1:4" x14ac:dyDescent="0.35">
      <c r="A99" t="s">
        <v>86</v>
      </c>
      <c r="B99">
        <v>6</v>
      </c>
      <c r="C99">
        <v>1.1666666666666701</v>
      </c>
      <c r="D99">
        <v>7.7777777777777807E-2</v>
      </c>
    </row>
    <row r="100" spans="1:4" x14ac:dyDescent="0.35">
      <c r="A100" t="s">
        <v>87</v>
      </c>
      <c r="B100">
        <v>207</v>
      </c>
      <c r="C100">
        <v>1.0772946859903401</v>
      </c>
      <c r="D100">
        <v>0.28921095008051501</v>
      </c>
    </row>
    <row r="101" spans="1:4" x14ac:dyDescent="0.35">
      <c r="A101" t="s">
        <v>88</v>
      </c>
      <c r="B101">
        <v>22</v>
      </c>
      <c r="C101">
        <v>1</v>
      </c>
      <c r="D101">
        <v>0</v>
      </c>
    </row>
    <row r="102" spans="1:4" x14ac:dyDescent="0.35">
      <c r="A102" t="s">
        <v>89</v>
      </c>
      <c r="B102">
        <v>9</v>
      </c>
      <c r="C102">
        <v>1.1111111111111101</v>
      </c>
      <c r="D102">
        <v>2.6703703703703701</v>
      </c>
    </row>
    <row r="103" spans="1:4" x14ac:dyDescent="0.35">
      <c r="A103" t="s">
        <v>90</v>
      </c>
      <c r="B103">
        <v>47</v>
      </c>
      <c r="C103">
        <v>1.08510638297872</v>
      </c>
      <c r="D103">
        <v>0.71099290780141799</v>
      </c>
    </row>
    <row r="104" spans="1:4" x14ac:dyDescent="0.35">
      <c r="A104" t="s">
        <v>91</v>
      </c>
      <c r="B104">
        <v>24</v>
      </c>
      <c r="C104">
        <v>1</v>
      </c>
      <c r="D104">
        <v>0</v>
      </c>
    </row>
    <row r="105" spans="1:4" x14ac:dyDescent="0.35">
      <c r="A105" t="s">
        <v>92</v>
      </c>
      <c r="B105">
        <v>25</v>
      </c>
      <c r="C105">
        <v>1.32</v>
      </c>
      <c r="D105">
        <v>1.86733333333333</v>
      </c>
    </row>
    <row r="106" spans="1:4" x14ac:dyDescent="0.35">
      <c r="A106" t="s">
        <v>93</v>
      </c>
      <c r="B106">
        <v>7</v>
      </c>
      <c r="C106">
        <v>1</v>
      </c>
      <c r="D106">
        <v>0</v>
      </c>
    </row>
    <row r="107" spans="1:4" x14ac:dyDescent="0.35">
      <c r="A107" t="s">
        <v>94</v>
      </c>
      <c r="B107">
        <v>20403</v>
      </c>
      <c r="C107">
        <v>1.3177473900896901</v>
      </c>
      <c r="D107">
        <v>1.1703662860036901</v>
      </c>
    </row>
    <row r="108" spans="1:4" x14ac:dyDescent="0.35">
      <c r="A108" t="s">
        <v>95</v>
      </c>
      <c r="B108">
        <v>1</v>
      </c>
      <c r="C108">
        <v>1</v>
      </c>
      <c r="D108">
        <v>0</v>
      </c>
    </row>
    <row r="109" spans="1:4" x14ac:dyDescent="0.35">
      <c r="A109" t="s">
        <v>96</v>
      </c>
      <c r="B109">
        <v>1</v>
      </c>
      <c r="C109">
        <v>2</v>
      </c>
      <c r="D109">
        <v>9.0166666666666693</v>
      </c>
    </row>
    <row r="110" spans="1:4" x14ac:dyDescent="0.35">
      <c r="A110" t="s">
        <v>97</v>
      </c>
      <c r="B110">
        <v>2</v>
      </c>
      <c r="C110">
        <v>1</v>
      </c>
      <c r="D110">
        <v>0</v>
      </c>
    </row>
    <row r="111" spans="1:4" x14ac:dyDescent="0.35">
      <c r="A111" t="s">
        <v>98</v>
      </c>
      <c r="B111">
        <v>5</v>
      </c>
      <c r="C111">
        <v>1</v>
      </c>
      <c r="D111">
        <v>0</v>
      </c>
    </row>
    <row r="112" spans="1:4" x14ac:dyDescent="0.35">
      <c r="A112" t="s">
        <v>99</v>
      </c>
      <c r="B112">
        <v>2</v>
      </c>
      <c r="C112">
        <v>1</v>
      </c>
      <c r="D112">
        <v>0</v>
      </c>
    </row>
    <row r="113" spans="1:4" x14ac:dyDescent="0.35">
      <c r="A113" t="s">
        <v>100</v>
      </c>
      <c r="B113">
        <v>3</v>
      </c>
      <c r="C113">
        <v>1</v>
      </c>
      <c r="D113">
        <v>0</v>
      </c>
    </row>
    <row r="114" spans="1:4" x14ac:dyDescent="0.35">
      <c r="A114">
        <v>39995</v>
      </c>
      <c r="B114">
        <v>12</v>
      </c>
      <c r="C114">
        <v>1</v>
      </c>
      <c r="D114">
        <v>0</v>
      </c>
    </row>
    <row r="115" spans="1:4" x14ac:dyDescent="0.35">
      <c r="A115" t="s">
        <v>101</v>
      </c>
      <c r="B115">
        <v>15</v>
      </c>
      <c r="C115">
        <v>1</v>
      </c>
      <c r="D115">
        <v>0</v>
      </c>
    </row>
    <row r="116" spans="1:4" x14ac:dyDescent="0.35">
      <c r="A116" t="s">
        <v>102</v>
      </c>
      <c r="B116">
        <v>3</v>
      </c>
      <c r="C116">
        <v>1</v>
      </c>
      <c r="D116">
        <v>0</v>
      </c>
    </row>
    <row r="117" spans="1:4" x14ac:dyDescent="0.35">
      <c r="A117" t="s">
        <v>103</v>
      </c>
      <c r="B117">
        <v>2</v>
      </c>
      <c r="C117">
        <v>1</v>
      </c>
      <c r="D117">
        <v>0</v>
      </c>
    </row>
    <row r="118" spans="1:4" x14ac:dyDescent="0.35">
      <c r="A118" t="s">
        <v>104</v>
      </c>
      <c r="B118">
        <v>97</v>
      </c>
      <c r="C118">
        <v>1.0309278350515501</v>
      </c>
      <c r="D118">
        <v>0.211855670103093</v>
      </c>
    </row>
    <row r="119" spans="1:4" x14ac:dyDescent="0.35">
      <c r="A119" t="s">
        <v>105</v>
      </c>
      <c r="B119">
        <v>4</v>
      </c>
      <c r="C119">
        <v>1</v>
      </c>
      <c r="D119">
        <v>0</v>
      </c>
    </row>
    <row r="120" spans="1:4" x14ac:dyDescent="0.35">
      <c r="A120" t="s">
        <v>106</v>
      </c>
      <c r="B120">
        <v>1603</v>
      </c>
      <c r="C120">
        <v>1.0611353711790401</v>
      </c>
      <c r="D120">
        <v>0.26895404449989602</v>
      </c>
    </row>
    <row r="121" spans="1:4" x14ac:dyDescent="0.35">
      <c r="A121" t="s">
        <v>107</v>
      </c>
      <c r="B121">
        <v>1</v>
      </c>
      <c r="C121">
        <v>1</v>
      </c>
      <c r="D121">
        <v>0</v>
      </c>
    </row>
    <row r="122" spans="1:4" x14ac:dyDescent="0.35">
      <c r="A122" t="s">
        <v>108</v>
      </c>
      <c r="B122">
        <v>15</v>
      </c>
      <c r="C122">
        <v>1</v>
      </c>
      <c r="D122">
        <v>0</v>
      </c>
    </row>
    <row r="123" spans="1:4" x14ac:dyDescent="0.35">
      <c r="A123" t="s">
        <v>109</v>
      </c>
      <c r="B123">
        <v>1</v>
      </c>
      <c r="C123">
        <v>1</v>
      </c>
      <c r="D123">
        <v>0</v>
      </c>
    </row>
    <row r="124" spans="1:4" x14ac:dyDescent="0.35">
      <c r="A124" t="s">
        <v>110</v>
      </c>
      <c r="B124">
        <v>31</v>
      </c>
      <c r="C124">
        <v>1</v>
      </c>
      <c r="D124">
        <v>0</v>
      </c>
    </row>
    <row r="125" spans="1:4" x14ac:dyDescent="0.35">
      <c r="A125" t="s">
        <v>111</v>
      </c>
      <c r="B125">
        <v>5</v>
      </c>
      <c r="C125">
        <v>3.2</v>
      </c>
      <c r="D125">
        <v>3.0266666666666699</v>
      </c>
    </row>
    <row r="126" spans="1:4" x14ac:dyDescent="0.35">
      <c r="A126" t="s">
        <v>112</v>
      </c>
      <c r="B126">
        <v>8</v>
      </c>
      <c r="C126">
        <v>1</v>
      </c>
      <c r="D126">
        <v>0</v>
      </c>
    </row>
    <row r="127" spans="1:4" x14ac:dyDescent="0.35">
      <c r="A127" t="s">
        <v>113</v>
      </c>
      <c r="B127">
        <v>2</v>
      </c>
      <c r="C127">
        <v>1</v>
      </c>
      <c r="D127">
        <v>0</v>
      </c>
    </row>
    <row r="128" spans="1:4" x14ac:dyDescent="0.35">
      <c r="A128" t="s">
        <v>114</v>
      </c>
      <c r="B128">
        <v>144</v>
      </c>
      <c r="C128">
        <v>1.0277777777777799</v>
      </c>
      <c r="D128">
        <v>9.9884259259259298E-2</v>
      </c>
    </row>
    <row r="129" spans="1:4" x14ac:dyDescent="0.35">
      <c r="A129" t="s">
        <v>115</v>
      </c>
      <c r="B129">
        <v>34</v>
      </c>
      <c r="C129">
        <v>1.02941176470588</v>
      </c>
      <c r="D129">
        <v>1.1764705882352899E-2</v>
      </c>
    </row>
    <row r="130" spans="1:4" x14ac:dyDescent="0.35">
      <c r="A130" t="s">
        <v>116</v>
      </c>
      <c r="B130">
        <v>558</v>
      </c>
      <c r="C130">
        <v>1.03046594982079</v>
      </c>
      <c r="D130">
        <v>8.7724014336917594E-2</v>
      </c>
    </row>
    <row r="131" spans="1:4" x14ac:dyDescent="0.35">
      <c r="A131" t="s">
        <v>117</v>
      </c>
      <c r="B131">
        <v>31</v>
      </c>
      <c r="C131">
        <v>1.0322580645161299</v>
      </c>
      <c r="D131">
        <v>2.5268817204301099E-2</v>
      </c>
    </row>
    <row r="132" spans="1:4" x14ac:dyDescent="0.35">
      <c r="A132" t="s">
        <v>118</v>
      </c>
      <c r="B132">
        <v>1</v>
      </c>
      <c r="C132">
        <v>1</v>
      </c>
      <c r="D132">
        <v>0</v>
      </c>
    </row>
    <row r="133" spans="1:4" x14ac:dyDescent="0.35">
      <c r="A133" t="s">
        <v>119</v>
      </c>
      <c r="B133">
        <v>2</v>
      </c>
      <c r="C133">
        <v>1</v>
      </c>
      <c r="D133">
        <v>0</v>
      </c>
    </row>
    <row r="134" spans="1:4" x14ac:dyDescent="0.35">
      <c r="A134" t="s">
        <v>120</v>
      </c>
      <c r="B134">
        <v>7</v>
      </c>
      <c r="C134">
        <v>1</v>
      </c>
      <c r="D134">
        <v>0</v>
      </c>
    </row>
    <row r="135" spans="1:4" x14ac:dyDescent="0.35">
      <c r="A135" t="s">
        <v>121</v>
      </c>
      <c r="B135">
        <v>41</v>
      </c>
      <c r="C135">
        <v>1.0243902439024399</v>
      </c>
      <c r="D135">
        <v>2.4796747967479701E-2</v>
      </c>
    </row>
    <row r="136" spans="1:4" x14ac:dyDescent="0.35">
      <c r="A136" t="s">
        <v>122</v>
      </c>
      <c r="B136">
        <v>1</v>
      </c>
      <c r="C136">
        <v>1</v>
      </c>
      <c r="D136">
        <v>0</v>
      </c>
    </row>
    <row r="137" spans="1:4" x14ac:dyDescent="0.35">
      <c r="A137">
        <v>484432</v>
      </c>
      <c r="B137">
        <v>5</v>
      </c>
      <c r="C137">
        <v>1</v>
      </c>
      <c r="D137">
        <v>0</v>
      </c>
    </row>
    <row r="138" spans="1:4" x14ac:dyDescent="0.35">
      <c r="A138" t="s">
        <v>123</v>
      </c>
      <c r="B138">
        <v>1</v>
      </c>
      <c r="C138">
        <v>1</v>
      </c>
      <c r="D138">
        <v>0</v>
      </c>
    </row>
    <row r="139" spans="1:4" x14ac:dyDescent="0.35">
      <c r="A139" t="s">
        <v>124</v>
      </c>
      <c r="B139">
        <v>1</v>
      </c>
      <c r="C139">
        <v>1</v>
      </c>
      <c r="D139">
        <v>0</v>
      </c>
    </row>
    <row r="140" spans="1:4" x14ac:dyDescent="0.35">
      <c r="A140">
        <v>161747</v>
      </c>
      <c r="B140">
        <v>1</v>
      </c>
      <c r="C140">
        <v>1</v>
      </c>
      <c r="D140">
        <v>0</v>
      </c>
    </row>
    <row r="141" spans="1:4" x14ac:dyDescent="0.35">
      <c r="A141" t="s">
        <v>125</v>
      </c>
      <c r="B141">
        <v>6</v>
      </c>
      <c r="C141">
        <v>1</v>
      </c>
      <c r="D141">
        <v>0</v>
      </c>
    </row>
    <row r="142" spans="1:4" x14ac:dyDescent="0.35">
      <c r="A142" t="s">
        <v>126</v>
      </c>
      <c r="B142">
        <v>2</v>
      </c>
      <c r="C142">
        <v>1</v>
      </c>
      <c r="D142">
        <v>0</v>
      </c>
    </row>
    <row r="143" spans="1:4" x14ac:dyDescent="0.35">
      <c r="A143" t="s">
        <v>127</v>
      </c>
      <c r="B143">
        <v>3</v>
      </c>
      <c r="C143">
        <v>1</v>
      </c>
      <c r="D143">
        <v>0</v>
      </c>
    </row>
    <row r="144" spans="1:4" x14ac:dyDescent="0.35">
      <c r="A144" t="s">
        <v>128</v>
      </c>
      <c r="B144">
        <v>3</v>
      </c>
      <c r="C144">
        <v>1</v>
      </c>
      <c r="D144">
        <v>0</v>
      </c>
    </row>
    <row r="145" spans="1:4" x14ac:dyDescent="0.35">
      <c r="A145" t="s">
        <v>129</v>
      </c>
      <c r="B145">
        <v>2389</v>
      </c>
      <c r="C145">
        <v>1.0632063624947701</v>
      </c>
      <c r="D145">
        <v>0.20039765592298001</v>
      </c>
    </row>
    <row r="146" spans="1:4" x14ac:dyDescent="0.35">
      <c r="A146" t="s">
        <v>130</v>
      </c>
      <c r="B146">
        <v>11</v>
      </c>
      <c r="C146">
        <v>1.0909090909090899</v>
      </c>
      <c r="D146">
        <v>0.3</v>
      </c>
    </row>
    <row r="147" spans="1:4" x14ac:dyDescent="0.35">
      <c r="A147">
        <v>921888</v>
      </c>
      <c r="B147">
        <v>275</v>
      </c>
      <c r="C147">
        <v>1.0327272727272701</v>
      </c>
      <c r="D147">
        <v>0.27181818181818201</v>
      </c>
    </row>
    <row r="148" spans="1:4" x14ac:dyDescent="0.35">
      <c r="A148" t="s">
        <v>131</v>
      </c>
      <c r="B148">
        <v>10</v>
      </c>
      <c r="C148">
        <v>1</v>
      </c>
      <c r="D148">
        <v>0</v>
      </c>
    </row>
    <row r="149" spans="1:4" x14ac:dyDescent="0.35">
      <c r="A149" t="s">
        <v>132</v>
      </c>
      <c r="B149">
        <v>8</v>
      </c>
      <c r="C149">
        <v>1.125</v>
      </c>
      <c r="D149">
        <v>6.0416666666666702E-2</v>
      </c>
    </row>
    <row r="150" spans="1:4" x14ac:dyDescent="0.35">
      <c r="A150" t="s">
        <v>133</v>
      </c>
      <c r="B150">
        <v>2</v>
      </c>
      <c r="C150">
        <v>1</v>
      </c>
      <c r="D150">
        <v>0</v>
      </c>
    </row>
    <row r="151" spans="1:4" x14ac:dyDescent="0.35">
      <c r="A151">
        <v>59739</v>
      </c>
      <c r="B151">
        <v>7</v>
      </c>
      <c r="C151">
        <v>1</v>
      </c>
      <c r="D151">
        <v>0</v>
      </c>
    </row>
    <row r="152" spans="1:4" x14ac:dyDescent="0.35">
      <c r="A152" t="s">
        <v>134</v>
      </c>
      <c r="B152">
        <v>3</v>
      </c>
      <c r="C152">
        <v>1</v>
      </c>
      <c r="D152">
        <v>0</v>
      </c>
    </row>
    <row r="153" spans="1:4" x14ac:dyDescent="0.35">
      <c r="A153" t="s">
        <v>135</v>
      </c>
      <c r="B153">
        <v>2</v>
      </c>
      <c r="C153">
        <v>1</v>
      </c>
      <c r="D153">
        <v>0</v>
      </c>
    </row>
    <row r="154" spans="1:4" x14ac:dyDescent="0.35">
      <c r="A154" t="s">
        <v>136</v>
      </c>
      <c r="B154">
        <v>11</v>
      </c>
      <c r="C154">
        <v>1.63636363636364</v>
      </c>
      <c r="D154">
        <v>10.4560606060606</v>
      </c>
    </row>
    <row r="155" spans="1:4" x14ac:dyDescent="0.35">
      <c r="A155" t="s">
        <v>137</v>
      </c>
      <c r="B155">
        <v>25</v>
      </c>
      <c r="C155">
        <v>1.52</v>
      </c>
      <c r="D155">
        <v>0.85066666666666702</v>
      </c>
    </row>
    <row r="156" spans="1:4" x14ac:dyDescent="0.35">
      <c r="A156" t="s">
        <v>138</v>
      </c>
      <c r="B156">
        <v>14</v>
      </c>
      <c r="C156">
        <v>1.0714285714285701</v>
      </c>
      <c r="D156">
        <v>1.7166666666666699</v>
      </c>
    </row>
    <row r="157" spans="1:4" x14ac:dyDescent="0.35">
      <c r="A157" t="s">
        <v>139</v>
      </c>
      <c r="B157">
        <v>1</v>
      </c>
      <c r="C157">
        <v>1</v>
      </c>
      <c r="D157">
        <v>0</v>
      </c>
    </row>
    <row r="158" spans="1:4" x14ac:dyDescent="0.35">
      <c r="A158" t="s">
        <v>140</v>
      </c>
      <c r="B158">
        <v>73</v>
      </c>
      <c r="C158">
        <v>1.54794520547945</v>
      </c>
      <c r="D158">
        <v>2.1906392694063901</v>
      </c>
    </row>
    <row r="159" spans="1:4" x14ac:dyDescent="0.35">
      <c r="A159" t="s">
        <v>141</v>
      </c>
      <c r="B159">
        <v>4</v>
      </c>
      <c r="C159">
        <v>1</v>
      </c>
      <c r="D159">
        <v>0</v>
      </c>
    </row>
    <row r="160" spans="1:4" x14ac:dyDescent="0.35">
      <c r="A160" t="s">
        <v>142</v>
      </c>
      <c r="B160">
        <v>1</v>
      </c>
      <c r="C160">
        <v>1</v>
      </c>
      <c r="D160">
        <v>0</v>
      </c>
    </row>
    <row r="161" spans="1:4" x14ac:dyDescent="0.35">
      <c r="A161" t="s">
        <v>143</v>
      </c>
      <c r="B161">
        <v>36</v>
      </c>
      <c r="C161">
        <v>1.1111111111111101</v>
      </c>
      <c r="D161">
        <v>0.89675925925925903</v>
      </c>
    </row>
    <row r="162" spans="1:4" x14ac:dyDescent="0.35">
      <c r="A162" t="s">
        <v>144</v>
      </c>
      <c r="B162">
        <v>260</v>
      </c>
      <c r="C162">
        <v>1.01538461538462</v>
      </c>
      <c r="D162">
        <v>3.1282051282051297E-2</v>
      </c>
    </row>
    <row r="163" spans="1:4" x14ac:dyDescent="0.35">
      <c r="A163" t="s">
        <v>145</v>
      </c>
      <c r="B163">
        <v>38</v>
      </c>
      <c r="C163">
        <v>1.1052631578947401</v>
      </c>
      <c r="D163">
        <v>8.42105263157895E-2</v>
      </c>
    </row>
    <row r="164" spans="1:4" x14ac:dyDescent="0.35">
      <c r="A164" t="s">
        <v>146</v>
      </c>
      <c r="B164">
        <v>34</v>
      </c>
      <c r="C164">
        <v>1.02941176470588</v>
      </c>
      <c r="D164">
        <v>0.55441176470588205</v>
      </c>
    </row>
    <row r="165" spans="1:4" x14ac:dyDescent="0.35">
      <c r="A165" t="s">
        <v>147</v>
      </c>
      <c r="B165">
        <v>3</v>
      </c>
      <c r="C165">
        <v>1</v>
      </c>
      <c r="D165">
        <v>0</v>
      </c>
    </row>
    <row r="166" spans="1:4" x14ac:dyDescent="0.35">
      <c r="A166" t="s">
        <v>148</v>
      </c>
      <c r="B166">
        <v>832</v>
      </c>
      <c r="C166">
        <v>1.0697115384615401</v>
      </c>
      <c r="D166">
        <v>0.20140224358974401</v>
      </c>
    </row>
    <row r="167" spans="1:4" x14ac:dyDescent="0.35">
      <c r="A167" t="s">
        <v>149</v>
      </c>
      <c r="B167">
        <v>1</v>
      </c>
      <c r="C167">
        <v>1</v>
      </c>
      <c r="D167">
        <v>0</v>
      </c>
    </row>
    <row r="168" spans="1:4" x14ac:dyDescent="0.35">
      <c r="A168" t="s">
        <v>150</v>
      </c>
      <c r="B168">
        <v>1</v>
      </c>
      <c r="C168">
        <v>2</v>
      </c>
      <c r="D168">
        <v>18.316666666666698</v>
      </c>
    </row>
    <row r="169" spans="1:4" x14ac:dyDescent="0.35">
      <c r="A169" t="s">
        <v>151</v>
      </c>
      <c r="B169">
        <v>1</v>
      </c>
      <c r="C169">
        <v>1</v>
      </c>
      <c r="D169">
        <v>0</v>
      </c>
    </row>
    <row r="170" spans="1:4" x14ac:dyDescent="0.35">
      <c r="A170" t="s">
        <v>152</v>
      </c>
      <c r="B170">
        <v>90</v>
      </c>
      <c r="C170">
        <v>1</v>
      </c>
      <c r="D170">
        <v>0</v>
      </c>
    </row>
    <row r="171" spans="1:4" x14ac:dyDescent="0.35">
      <c r="A171" t="s">
        <v>153</v>
      </c>
      <c r="B171">
        <v>2</v>
      </c>
      <c r="C171">
        <v>1</v>
      </c>
      <c r="D171">
        <v>0</v>
      </c>
    </row>
    <row r="172" spans="1:4" x14ac:dyDescent="0.35">
      <c r="A172" t="s">
        <v>154</v>
      </c>
      <c r="B172">
        <v>35</v>
      </c>
      <c r="C172">
        <v>1</v>
      </c>
      <c r="D172">
        <v>0</v>
      </c>
    </row>
    <row r="173" spans="1:4" x14ac:dyDescent="0.35">
      <c r="A173" t="s">
        <v>155</v>
      </c>
      <c r="B173">
        <v>3</v>
      </c>
      <c r="C173">
        <v>1</v>
      </c>
      <c r="D173">
        <v>0</v>
      </c>
    </row>
    <row r="174" spans="1:4" x14ac:dyDescent="0.35">
      <c r="A174" t="s">
        <v>156</v>
      </c>
      <c r="B174">
        <v>69</v>
      </c>
      <c r="C174">
        <v>1.0434782608695701</v>
      </c>
      <c r="D174">
        <v>0.38333333333333303</v>
      </c>
    </row>
    <row r="175" spans="1:4" x14ac:dyDescent="0.35">
      <c r="A175" t="s">
        <v>157</v>
      </c>
      <c r="B175">
        <v>9</v>
      </c>
      <c r="C175">
        <v>1.1111111111111101</v>
      </c>
      <c r="D175">
        <v>8.3333333333333301E-2</v>
      </c>
    </row>
    <row r="176" spans="1:4" x14ac:dyDescent="0.35">
      <c r="A176" t="s">
        <v>158</v>
      </c>
      <c r="B176">
        <v>5</v>
      </c>
      <c r="C176">
        <v>1</v>
      </c>
      <c r="D176">
        <v>0</v>
      </c>
    </row>
    <row r="177" spans="1:4" x14ac:dyDescent="0.35">
      <c r="A177" t="s">
        <v>159</v>
      </c>
      <c r="B177">
        <v>4</v>
      </c>
      <c r="C177">
        <v>1</v>
      </c>
      <c r="D177">
        <v>0</v>
      </c>
    </row>
    <row r="178" spans="1:4" x14ac:dyDescent="0.35">
      <c r="A178" t="s">
        <v>160</v>
      </c>
      <c r="B178">
        <v>1</v>
      </c>
      <c r="C178">
        <v>1</v>
      </c>
      <c r="D178">
        <v>0</v>
      </c>
    </row>
    <row r="179" spans="1:4" x14ac:dyDescent="0.35">
      <c r="A179" t="s">
        <v>161</v>
      </c>
      <c r="B179">
        <v>2</v>
      </c>
      <c r="C179">
        <v>1</v>
      </c>
      <c r="D179">
        <v>0</v>
      </c>
    </row>
    <row r="180" spans="1:4" x14ac:dyDescent="0.35">
      <c r="A180" t="s">
        <v>162</v>
      </c>
      <c r="B180">
        <v>5</v>
      </c>
      <c r="C180">
        <v>1</v>
      </c>
      <c r="D180">
        <v>0</v>
      </c>
    </row>
    <row r="181" spans="1:4" x14ac:dyDescent="0.35">
      <c r="A181" s="3" t="s">
        <v>163</v>
      </c>
      <c r="B181">
        <v>1</v>
      </c>
      <c r="C181">
        <v>1</v>
      </c>
      <c r="D181">
        <v>0</v>
      </c>
    </row>
    <row r="182" spans="1:4" x14ac:dyDescent="0.35">
      <c r="A182" t="s">
        <v>164</v>
      </c>
      <c r="B182">
        <v>1</v>
      </c>
      <c r="C182">
        <v>1</v>
      </c>
      <c r="D182">
        <v>0</v>
      </c>
    </row>
    <row r="183" spans="1:4" x14ac:dyDescent="0.35">
      <c r="A183" t="s">
        <v>165</v>
      </c>
      <c r="B183">
        <v>1</v>
      </c>
      <c r="C183">
        <v>2</v>
      </c>
      <c r="D183">
        <v>0.7</v>
      </c>
    </row>
    <row r="184" spans="1:4" x14ac:dyDescent="0.35">
      <c r="A184" t="s">
        <v>166</v>
      </c>
      <c r="B184">
        <v>7</v>
      </c>
      <c r="C184">
        <v>1.28571428571429</v>
      </c>
      <c r="D184">
        <v>2.3476190476190499</v>
      </c>
    </row>
    <row r="185" spans="1:4" x14ac:dyDescent="0.35">
      <c r="A185" t="s">
        <v>167</v>
      </c>
      <c r="B185">
        <v>2</v>
      </c>
      <c r="C185">
        <v>1</v>
      </c>
      <c r="D185">
        <v>0</v>
      </c>
    </row>
    <row r="186" spans="1:4" x14ac:dyDescent="0.35">
      <c r="A186" t="s">
        <v>168</v>
      </c>
      <c r="B186">
        <v>7</v>
      </c>
      <c r="C186">
        <v>1</v>
      </c>
      <c r="D186">
        <v>0</v>
      </c>
    </row>
    <row r="187" spans="1:4" x14ac:dyDescent="0.35">
      <c r="A187" t="s">
        <v>169</v>
      </c>
      <c r="B187">
        <v>1</v>
      </c>
      <c r="C187">
        <v>1</v>
      </c>
      <c r="D187">
        <v>0</v>
      </c>
    </row>
    <row r="188" spans="1:4" x14ac:dyDescent="0.35">
      <c r="A188" t="s">
        <v>170</v>
      </c>
      <c r="B188">
        <v>4</v>
      </c>
      <c r="C188">
        <v>1</v>
      </c>
      <c r="D188">
        <v>0</v>
      </c>
    </row>
    <row r="189" spans="1:4" x14ac:dyDescent="0.35">
      <c r="A189">
        <v>800106</v>
      </c>
      <c r="B189">
        <v>41</v>
      </c>
      <c r="C189">
        <v>1.0243902439024399</v>
      </c>
      <c r="D189">
        <v>1.6260162601626001E-3</v>
      </c>
    </row>
    <row r="190" spans="1:4" x14ac:dyDescent="0.35">
      <c r="A190" t="s">
        <v>171</v>
      </c>
      <c r="B190">
        <v>1</v>
      </c>
      <c r="C190">
        <v>1</v>
      </c>
      <c r="D190">
        <v>0</v>
      </c>
    </row>
    <row r="191" spans="1:4" x14ac:dyDescent="0.35">
      <c r="A191" t="s">
        <v>172</v>
      </c>
      <c r="B191">
        <v>3</v>
      </c>
      <c r="C191">
        <v>1</v>
      </c>
      <c r="D191">
        <v>0</v>
      </c>
    </row>
    <row r="192" spans="1:4" x14ac:dyDescent="0.35">
      <c r="A192" t="s">
        <v>173</v>
      </c>
      <c r="B192">
        <v>1</v>
      </c>
      <c r="C192">
        <v>1</v>
      </c>
      <c r="D192">
        <v>0</v>
      </c>
    </row>
    <row r="193" spans="1:4" x14ac:dyDescent="0.35">
      <c r="A193" t="s">
        <v>174</v>
      </c>
      <c r="B193">
        <v>4</v>
      </c>
      <c r="C193">
        <v>1</v>
      </c>
      <c r="D193">
        <v>0</v>
      </c>
    </row>
    <row r="194" spans="1:4" x14ac:dyDescent="0.35">
      <c r="A194" t="s">
        <v>175</v>
      </c>
      <c r="B194">
        <v>2</v>
      </c>
      <c r="C194">
        <v>1</v>
      </c>
      <c r="D194">
        <v>0</v>
      </c>
    </row>
    <row r="195" spans="1:4" x14ac:dyDescent="0.35">
      <c r="A195" t="s">
        <v>176</v>
      </c>
      <c r="B195">
        <v>3</v>
      </c>
      <c r="C195">
        <v>1</v>
      </c>
      <c r="D195">
        <v>0</v>
      </c>
    </row>
    <row r="196" spans="1:4" x14ac:dyDescent="0.35">
      <c r="A196" t="s">
        <v>177</v>
      </c>
      <c r="B196">
        <v>5</v>
      </c>
      <c r="C196">
        <v>1.4</v>
      </c>
      <c r="D196">
        <v>0.353333333333333</v>
      </c>
    </row>
    <row r="197" spans="1:4" x14ac:dyDescent="0.35">
      <c r="A197" t="s">
        <v>178</v>
      </c>
      <c r="B197">
        <v>16</v>
      </c>
      <c r="C197">
        <v>1</v>
      </c>
      <c r="D197">
        <v>0</v>
      </c>
    </row>
    <row r="198" spans="1:4" x14ac:dyDescent="0.35">
      <c r="A198" t="s">
        <v>179</v>
      </c>
      <c r="B198">
        <v>4</v>
      </c>
      <c r="C198">
        <v>1</v>
      </c>
      <c r="D198">
        <v>0</v>
      </c>
    </row>
    <row r="199" spans="1:4" x14ac:dyDescent="0.35">
      <c r="A199" t="s">
        <v>180</v>
      </c>
      <c r="B199">
        <v>1</v>
      </c>
      <c r="C199">
        <v>1</v>
      </c>
      <c r="D199">
        <v>0</v>
      </c>
    </row>
    <row r="200" spans="1:4" x14ac:dyDescent="0.35">
      <c r="A200" t="s">
        <v>181</v>
      </c>
      <c r="B200">
        <v>4</v>
      </c>
      <c r="C200">
        <v>1.25</v>
      </c>
      <c r="D200">
        <v>1.4708333333333301</v>
      </c>
    </row>
    <row r="201" spans="1:4" x14ac:dyDescent="0.35">
      <c r="A201" t="s">
        <v>182</v>
      </c>
      <c r="B201">
        <v>2</v>
      </c>
      <c r="C201">
        <v>1</v>
      </c>
      <c r="D201">
        <v>0</v>
      </c>
    </row>
    <row r="202" spans="1:4" x14ac:dyDescent="0.35">
      <c r="A202">
        <v>976395</v>
      </c>
      <c r="B202">
        <v>2</v>
      </c>
      <c r="C202">
        <v>1</v>
      </c>
      <c r="D202">
        <v>0</v>
      </c>
    </row>
    <row r="203" spans="1:4" x14ac:dyDescent="0.35">
      <c r="A203" t="s">
        <v>183</v>
      </c>
      <c r="B203">
        <v>3</v>
      </c>
      <c r="C203">
        <v>1</v>
      </c>
      <c r="D203">
        <v>0</v>
      </c>
    </row>
    <row r="204" spans="1:4" x14ac:dyDescent="0.35">
      <c r="A204" t="s">
        <v>184</v>
      </c>
      <c r="B204">
        <v>19</v>
      </c>
      <c r="C204">
        <v>1</v>
      </c>
      <c r="D204">
        <v>0</v>
      </c>
    </row>
    <row r="205" spans="1:4" x14ac:dyDescent="0.35">
      <c r="A205" t="s">
        <v>185</v>
      </c>
      <c r="B205">
        <v>1</v>
      </c>
      <c r="C205">
        <v>1</v>
      </c>
      <c r="D205">
        <v>0</v>
      </c>
    </row>
    <row r="206" spans="1:4" x14ac:dyDescent="0.35">
      <c r="A206" t="s">
        <v>186</v>
      </c>
      <c r="B206">
        <v>11</v>
      </c>
      <c r="C206">
        <v>1.0909090909090899</v>
      </c>
      <c r="D206">
        <v>1.8681818181818199</v>
      </c>
    </row>
    <row r="207" spans="1:4" x14ac:dyDescent="0.35">
      <c r="A207" t="s">
        <v>187</v>
      </c>
      <c r="B207">
        <v>6</v>
      </c>
      <c r="C207">
        <v>1</v>
      </c>
      <c r="D207">
        <v>0</v>
      </c>
    </row>
    <row r="208" spans="1:4" x14ac:dyDescent="0.35">
      <c r="A208">
        <v>426486</v>
      </c>
      <c r="B208">
        <v>3</v>
      </c>
      <c r="C208">
        <v>1</v>
      </c>
      <c r="D208">
        <v>0</v>
      </c>
    </row>
    <row r="209" spans="1:4" x14ac:dyDescent="0.35">
      <c r="A209" t="s">
        <v>188</v>
      </c>
      <c r="B209">
        <v>1</v>
      </c>
      <c r="C209">
        <v>2</v>
      </c>
      <c r="D209">
        <v>3.4</v>
      </c>
    </row>
    <row r="210" spans="1:4" x14ac:dyDescent="0.35">
      <c r="A210" t="s">
        <v>189</v>
      </c>
      <c r="B210">
        <v>14</v>
      </c>
      <c r="C210">
        <v>1.1428571428571399</v>
      </c>
      <c r="D210">
        <v>1.04285714285714</v>
      </c>
    </row>
    <row r="211" spans="1:4" x14ac:dyDescent="0.35">
      <c r="A211" t="s">
        <v>190</v>
      </c>
      <c r="B211">
        <v>18</v>
      </c>
      <c r="C211">
        <v>1</v>
      </c>
      <c r="D211">
        <v>0</v>
      </c>
    </row>
    <row r="212" spans="1:4" x14ac:dyDescent="0.35">
      <c r="A212" t="s">
        <v>191</v>
      </c>
      <c r="B212">
        <v>1</v>
      </c>
      <c r="C212">
        <v>1</v>
      </c>
      <c r="D212">
        <v>0</v>
      </c>
    </row>
    <row r="213" spans="1:4" x14ac:dyDescent="0.35">
      <c r="A213" t="s">
        <v>192</v>
      </c>
      <c r="B213">
        <v>7</v>
      </c>
      <c r="C213">
        <v>1</v>
      </c>
      <c r="D213">
        <v>0</v>
      </c>
    </row>
    <row r="214" spans="1:4" x14ac:dyDescent="0.35">
      <c r="A214" t="s">
        <v>193</v>
      </c>
      <c r="B214">
        <v>1</v>
      </c>
      <c r="C214">
        <v>1</v>
      </c>
      <c r="D214">
        <v>0</v>
      </c>
    </row>
    <row r="215" spans="1:4" x14ac:dyDescent="0.35">
      <c r="A215" t="s">
        <v>194</v>
      </c>
      <c r="B215">
        <v>1</v>
      </c>
      <c r="C215">
        <v>1</v>
      </c>
      <c r="D215">
        <v>0</v>
      </c>
    </row>
    <row r="216" spans="1:4" x14ac:dyDescent="0.35">
      <c r="A216" t="s">
        <v>195</v>
      </c>
      <c r="B216">
        <v>1</v>
      </c>
      <c r="C216">
        <v>1</v>
      </c>
      <c r="D216">
        <v>0</v>
      </c>
    </row>
    <row r="217" spans="1:4" x14ac:dyDescent="0.35">
      <c r="A217" t="s">
        <v>196</v>
      </c>
      <c r="B217">
        <v>1</v>
      </c>
      <c r="C217">
        <v>3</v>
      </c>
      <c r="D217">
        <v>3.3</v>
      </c>
    </row>
    <row r="218" spans="1:4" x14ac:dyDescent="0.35">
      <c r="A218" t="s">
        <v>197</v>
      </c>
      <c r="B218">
        <v>52</v>
      </c>
      <c r="C218">
        <v>1.0384615384615401</v>
      </c>
      <c r="D218">
        <v>0.15673076923076901</v>
      </c>
    </row>
    <row r="219" spans="1:4" x14ac:dyDescent="0.35">
      <c r="A219" t="s">
        <v>198</v>
      </c>
      <c r="B219">
        <v>1</v>
      </c>
      <c r="C219">
        <v>1</v>
      </c>
      <c r="D219">
        <v>0</v>
      </c>
    </row>
    <row r="220" spans="1:4" x14ac:dyDescent="0.35">
      <c r="A220" t="s">
        <v>199</v>
      </c>
      <c r="B220">
        <v>3</v>
      </c>
      <c r="C220">
        <v>1</v>
      </c>
      <c r="D220">
        <v>0</v>
      </c>
    </row>
    <row r="221" spans="1:4" x14ac:dyDescent="0.35">
      <c r="A221" t="s">
        <v>200</v>
      </c>
      <c r="B221">
        <v>20</v>
      </c>
      <c r="C221">
        <v>1</v>
      </c>
      <c r="D221">
        <v>0</v>
      </c>
    </row>
    <row r="222" spans="1:4" x14ac:dyDescent="0.35">
      <c r="A222" t="s">
        <v>201</v>
      </c>
      <c r="B222">
        <v>31</v>
      </c>
      <c r="C222">
        <v>1</v>
      </c>
      <c r="D222">
        <v>0</v>
      </c>
    </row>
    <row r="223" spans="1:4" x14ac:dyDescent="0.35">
      <c r="A223" t="s">
        <v>202</v>
      </c>
      <c r="B223">
        <v>2</v>
      </c>
      <c r="C223">
        <v>1</v>
      </c>
      <c r="D223">
        <v>0</v>
      </c>
    </row>
    <row r="224" spans="1:4" x14ac:dyDescent="0.35">
      <c r="A224" t="s">
        <v>203</v>
      </c>
      <c r="B224">
        <v>16</v>
      </c>
      <c r="C224">
        <v>1.5</v>
      </c>
      <c r="D224">
        <v>0.20520833333333299</v>
      </c>
    </row>
    <row r="225" spans="1:4" x14ac:dyDescent="0.35">
      <c r="A225" t="s">
        <v>204</v>
      </c>
      <c r="B225">
        <v>3</v>
      </c>
      <c r="C225">
        <v>1</v>
      </c>
      <c r="D225">
        <v>0</v>
      </c>
    </row>
    <row r="226" spans="1:4" x14ac:dyDescent="0.35">
      <c r="A226" t="s">
        <v>205</v>
      </c>
      <c r="B226">
        <v>1</v>
      </c>
      <c r="C226">
        <v>1</v>
      </c>
      <c r="D226">
        <v>0</v>
      </c>
    </row>
    <row r="227" spans="1:4" x14ac:dyDescent="0.35">
      <c r="A227" t="s">
        <v>206</v>
      </c>
      <c r="B227">
        <v>6</v>
      </c>
      <c r="C227">
        <v>1</v>
      </c>
      <c r="D227">
        <v>0</v>
      </c>
    </row>
    <row r="228" spans="1:4" x14ac:dyDescent="0.35">
      <c r="A228" t="s">
        <v>207</v>
      </c>
      <c r="B228">
        <v>2</v>
      </c>
      <c r="C228">
        <v>1</v>
      </c>
      <c r="D228">
        <v>0</v>
      </c>
    </row>
    <row r="229" spans="1:4" x14ac:dyDescent="0.35">
      <c r="A229" t="s">
        <v>208</v>
      </c>
      <c r="B229">
        <v>7</v>
      </c>
      <c r="C229">
        <v>1.1428571428571399</v>
      </c>
      <c r="D229">
        <v>0.52380952380952395</v>
      </c>
    </row>
    <row r="230" spans="1:4" x14ac:dyDescent="0.35">
      <c r="A230" t="s">
        <v>209</v>
      </c>
      <c r="B230">
        <v>2</v>
      </c>
      <c r="C230">
        <v>1</v>
      </c>
      <c r="D230">
        <v>0</v>
      </c>
    </row>
    <row r="231" spans="1:4" x14ac:dyDescent="0.35">
      <c r="A231" t="s">
        <v>210</v>
      </c>
      <c r="B231">
        <v>1</v>
      </c>
      <c r="C231">
        <v>1</v>
      </c>
      <c r="D231">
        <v>0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Javed Akhtar</dc:creator>
  <cp:lastModifiedBy>Javed Akhtar</cp:lastModifiedBy>
  <dcterms:created xsi:type="dcterms:W3CDTF">2025-11-22T05:03:48Z</dcterms:created>
  <dcterms:modified xsi:type="dcterms:W3CDTF">2025-11-22T05:45:16Z</dcterms:modified>
</cp:coreProperties>
</file>